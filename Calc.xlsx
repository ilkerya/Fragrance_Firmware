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lker\Documents\Arduino\Fragrance\"/>
    </mc:Choice>
  </mc:AlternateContent>
  <xr:revisionPtr revIDLastSave="0" documentId="8_{A0FBAF0E-8B84-4020-8113-EAAB155B0A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C20" i="1"/>
  <c r="C21" i="1"/>
  <c r="C22" i="1"/>
  <c r="C23" i="1"/>
  <c r="C24" i="1"/>
  <c r="C11" i="1"/>
  <c r="B13" i="1"/>
  <c r="C13" i="1" s="1"/>
  <c r="B12" i="1"/>
  <c r="C12" i="1" s="1"/>
  <c r="B14" i="1"/>
  <c r="C14" i="1" s="1"/>
  <c r="B15" i="1"/>
  <c r="C15" i="1" s="1"/>
  <c r="B17" i="1"/>
  <c r="C17" i="1" s="1"/>
  <c r="B18" i="1"/>
  <c r="C18" i="1" s="1"/>
  <c r="B19" i="1"/>
  <c r="C19" i="1" s="1"/>
  <c r="B20" i="1"/>
  <c r="B21" i="1"/>
  <c r="B22" i="1"/>
  <c r="B23" i="1"/>
  <c r="B24" i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11" i="1"/>
  <c r="D5" i="1"/>
  <c r="E5" i="1" s="1"/>
  <c r="F5" i="1" s="1"/>
  <c r="D4" i="1"/>
  <c r="E4" i="1" s="1"/>
  <c r="F4" i="1" s="1"/>
  <c r="D3" i="1"/>
  <c r="E3" i="1" s="1"/>
  <c r="F3" i="1" s="1"/>
  <c r="G3" i="1" s="1"/>
  <c r="G4" i="1" l="1"/>
  <c r="G5" i="1"/>
</calcChain>
</file>

<file path=xl/sharedStrings.xml><?xml version="1.0" encoding="utf-8"?>
<sst xmlns="http://schemas.openxmlformats.org/spreadsheetml/2006/main" count="20" uniqueCount="20">
  <si>
    <t xml:space="preserve">High Pulse </t>
  </si>
  <si>
    <t>Low Pulse</t>
  </si>
  <si>
    <t>17:50:51.721 -&gt; Int_Time: 11us  FB: 1Curr: DEV_OFF PWM_Counter: 205   High: 5669   Low: 5842</t>
  </si>
  <si>
    <t>PWM DC</t>
  </si>
  <si>
    <t>T</t>
  </si>
  <si>
    <t>t1+t2</t>
  </si>
  <si>
    <t>uSec</t>
  </si>
  <si>
    <t>rpm</t>
  </si>
  <si>
    <t>17:50:51.721 -&gt; Int_Time: 11us  FB: 1Curr: DEV_OFF PWM_Counter: 205   High: 5669   Low: 5843</t>
  </si>
  <si>
    <t>17:50:51.721 -&gt; Int_Time: 11us  FB: 1Curr: DEV_OFF PWM_Counter: 205   High: 5669   Low: 5844</t>
  </si>
  <si>
    <t>17:50:51.721 -&gt; Int_Time: 11us  FB: 1Curr: DEV_OFF PWM_Counter: 205   High: 5669   Low: 5845</t>
  </si>
  <si>
    <t>17:50:51.721 -&gt; Int_Time: 11us  FB: 1Curr: DEV_OFF PWM_Counter: 205   High: 5669   Low: 5846</t>
  </si>
  <si>
    <t>17:50:51.721 -&gt; Int_Time: 11us  FB: 1Curr: DEV_OFF PWM_Counter: 205   High: 5669   Low: 5847</t>
  </si>
  <si>
    <t>17:50:51.721 -&gt; Int_Time: 11us  FB: 1Curr: DEV_OFF PWM_Counter: 205   High: 5669   Low: 5848</t>
  </si>
  <si>
    <t>17:50:51.721 -&gt; Int_Time: 11us  FB: 1Curr: DEV_OFF PWM_Counter: 205   High: 5669   Low: 5849</t>
  </si>
  <si>
    <t>17:50:51.721 -&gt; Int_Time: 11us  FB: 1Curr: DEV_OFF PWM_Counter: 205   High: 5669   Low: 5850</t>
  </si>
  <si>
    <t>%</t>
  </si>
  <si>
    <t>Applied</t>
  </si>
  <si>
    <t>Inverse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</si>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</sst>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4E5B6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1"/>
  <sheetViews>
    <sheetView tabSelected="1" topLeftCell="A4" workbookViewId="0">
      <selection activeCell="E20" sqref="E20"/>
    </sheetView>
  </sheetViews>
  <sheetFormatPr defaultRowHeight="14.4"/>
  <cols>
    <col min="2" max="2" width="8.33203125" style="2" customWidth="1"/>
  </cols>
  <sheetData>
    <row r="2" spans="1:12">
      <c r="A2" t="s">
        <v>3</v>
      </c>
      <c r="B2" s="2" t="s">
        <v>0</v>
      </c>
      <c r="C2" t="s">
        <v>1</v>
      </c>
      <c r="D2" t="s">
        <v>5</v>
      </c>
      <c r="E2" t="s">
        <v>4</v>
      </c>
      <c r="F2" t="s">
        <v>6</v>
      </c>
      <c r="G2" t="s">
        <v>7</v>
      </c>
    </row>
    <row r="3" spans="1:12">
      <c r="A3">
        <v>207</v>
      </c>
      <c r="B3" s="2">
        <v>6340</v>
      </c>
      <c r="C3">
        <v>6596</v>
      </c>
      <c r="D3">
        <f>B3+C3</f>
        <v>12936</v>
      </c>
      <c r="E3">
        <f>D3*2</f>
        <v>25872</v>
      </c>
      <c r="F3">
        <f>E3/100000</f>
        <v>0.25872000000000001</v>
      </c>
      <c r="G3">
        <f>(60/(F3))</f>
        <v>231.91094619666049</v>
      </c>
      <c r="L3" s="1" t="s">
        <v>2</v>
      </c>
    </row>
    <row r="4" spans="1:12">
      <c r="B4" s="2">
        <v>500</v>
      </c>
      <c r="C4">
        <v>500</v>
      </c>
      <c r="D4">
        <f>B4+C4</f>
        <v>1000</v>
      </c>
      <c r="E4">
        <f>D4*2</f>
        <v>2000</v>
      </c>
      <c r="F4">
        <f>E4/100000</f>
        <v>0.02</v>
      </c>
      <c r="G4">
        <f>(60/(E4/100000))</f>
        <v>3000</v>
      </c>
      <c r="L4" s="1" t="s">
        <v>8</v>
      </c>
    </row>
    <row r="5" spans="1:12">
      <c r="B5" s="2">
        <v>800</v>
      </c>
      <c r="C5">
        <v>800</v>
      </c>
      <c r="D5">
        <f>B5+C5</f>
        <v>1600</v>
      </c>
      <c r="E5">
        <f>D5*2</f>
        <v>3200</v>
      </c>
      <c r="F5">
        <f>E5/100000</f>
        <v>3.2000000000000001E-2</v>
      </c>
      <c r="G5">
        <f>(60*100000) /E5</f>
        <v>1875</v>
      </c>
      <c r="L5" s="1" t="s">
        <v>9</v>
      </c>
    </row>
    <row r="6" spans="1:12">
      <c r="L6" s="1" t="s">
        <v>10</v>
      </c>
    </row>
    <row r="7" spans="1:12">
      <c r="L7" s="1" t="s">
        <v>11</v>
      </c>
    </row>
    <row r="8" spans="1:12">
      <c r="L8" s="1" t="s">
        <v>12</v>
      </c>
    </row>
    <row r="9" spans="1:12">
      <c r="L9" s="1" t="s">
        <v>13</v>
      </c>
    </row>
    <row r="10" spans="1:12">
      <c r="A10" t="s">
        <v>17</v>
      </c>
      <c r="B10" s="2" t="s">
        <v>18</v>
      </c>
      <c r="C10" s="2" t="s">
        <v>16</v>
      </c>
      <c r="L10" s="1" t="s">
        <v>14</v>
      </c>
    </row>
    <row r="11" spans="1:12">
      <c r="A11">
        <v>255</v>
      </c>
      <c r="B11" s="2">
        <f>255-A11</f>
        <v>0</v>
      </c>
      <c r="C11" s="2">
        <f>(B11/255)*100</f>
        <v>0</v>
      </c>
      <c r="L11" s="1" t="s">
        <v>15</v>
      </c>
    </row>
    <row r="12" spans="1:12">
      <c r="A12">
        <v>240</v>
      </c>
      <c r="B12" s="2">
        <f t="shared" ref="B12:B31" si="0">255-A12</f>
        <v>15</v>
      </c>
      <c r="C12" s="2">
        <f t="shared" ref="C12:C31" si="1">(B12/255)*100</f>
        <v>5.8823529411764701</v>
      </c>
    </row>
    <row r="13" spans="1:12">
      <c r="A13">
        <v>235</v>
      </c>
      <c r="B13" s="2">
        <f t="shared" si="0"/>
        <v>20</v>
      </c>
      <c r="C13" s="2">
        <f t="shared" si="1"/>
        <v>7.8431372549019605</v>
      </c>
    </row>
    <row r="14" spans="1:12">
      <c r="A14">
        <v>225</v>
      </c>
      <c r="B14" s="2">
        <f t="shared" si="0"/>
        <v>30</v>
      </c>
      <c r="C14" s="2">
        <f t="shared" si="1"/>
        <v>11.76470588235294</v>
      </c>
    </row>
    <row r="15" spans="1:12">
      <c r="A15">
        <v>210</v>
      </c>
      <c r="B15" s="2">
        <f t="shared" si="0"/>
        <v>45</v>
      </c>
      <c r="C15" s="2">
        <f t="shared" si="1"/>
        <v>17.647058823529413</v>
      </c>
    </row>
    <row r="16" spans="1:12">
      <c r="A16">
        <v>205</v>
      </c>
      <c r="B16" s="2">
        <f t="shared" si="0"/>
        <v>50</v>
      </c>
      <c r="C16" s="2">
        <f t="shared" si="1"/>
        <v>19.607843137254903</v>
      </c>
      <c r="D16" t="s">
        <v>19</v>
      </c>
    </row>
    <row r="17" spans="1:3">
      <c r="A17">
        <v>195</v>
      </c>
      <c r="B17" s="2">
        <f t="shared" si="0"/>
        <v>60</v>
      </c>
      <c r="C17" s="2">
        <f t="shared" si="1"/>
        <v>23.52941176470588</v>
      </c>
    </row>
    <row r="18" spans="1:3">
      <c r="A18">
        <v>180</v>
      </c>
      <c r="B18" s="2">
        <f t="shared" si="0"/>
        <v>75</v>
      </c>
      <c r="C18" s="2">
        <f t="shared" si="1"/>
        <v>29.411764705882355</v>
      </c>
    </row>
    <row r="19" spans="1:3">
      <c r="A19">
        <v>165</v>
      </c>
      <c r="B19" s="2">
        <f t="shared" si="0"/>
        <v>90</v>
      </c>
      <c r="C19" s="2">
        <f t="shared" si="1"/>
        <v>35.294117647058826</v>
      </c>
    </row>
    <row r="20" spans="1:3">
      <c r="A20">
        <v>150</v>
      </c>
      <c r="B20" s="2">
        <f t="shared" si="0"/>
        <v>105</v>
      </c>
      <c r="C20" s="2">
        <f t="shared" si="1"/>
        <v>41.17647058823529</v>
      </c>
    </row>
    <row r="21" spans="1:3">
      <c r="A21">
        <v>135</v>
      </c>
      <c r="B21" s="2">
        <f t="shared" si="0"/>
        <v>120</v>
      </c>
      <c r="C21" s="2">
        <f t="shared" si="1"/>
        <v>47.058823529411761</v>
      </c>
    </row>
    <row r="22" spans="1:3">
      <c r="A22">
        <v>120</v>
      </c>
      <c r="B22" s="2">
        <f t="shared" si="0"/>
        <v>135</v>
      </c>
      <c r="C22" s="2">
        <f t="shared" si="1"/>
        <v>52.941176470588239</v>
      </c>
    </row>
    <row r="23" spans="1:3">
      <c r="A23">
        <v>105</v>
      </c>
      <c r="B23" s="2">
        <f t="shared" si="0"/>
        <v>150</v>
      </c>
      <c r="C23" s="2">
        <f t="shared" si="1"/>
        <v>58.82352941176471</v>
      </c>
    </row>
    <row r="24" spans="1:3">
      <c r="A24">
        <v>90</v>
      </c>
      <c r="B24" s="2">
        <f t="shared" si="0"/>
        <v>165</v>
      </c>
      <c r="C24" s="2">
        <f t="shared" si="1"/>
        <v>64.705882352941174</v>
      </c>
    </row>
    <row r="25" spans="1:3">
      <c r="A25">
        <v>75</v>
      </c>
      <c r="B25" s="2">
        <f t="shared" si="0"/>
        <v>180</v>
      </c>
      <c r="C25" s="2">
        <f t="shared" si="1"/>
        <v>70.588235294117652</v>
      </c>
    </row>
    <row r="26" spans="1:3">
      <c r="A26">
        <v>60</v>
      </c>
      <c r="B26" s="2">
        <f t="shared" si="0"/>
        <v>195</v>
      </c>
      <c r="C26" s="2">
        <f t="shared" si="1"/>
        <v>76.470588235294116</v>
      </c>
    </row>
    <row r="27" spans="1:3">
      <c r="A27">
        <v>45</v>
      </c>
      <c r="B27" s="2">
        <f t="shared" si="0"/>
        <v>210</v>
      </c>
      <c r="C27" s="2">
        <f t="shared" si="1"/>
        <v>82.35294117647058</v>
      </c>
    </row>
    <row r="28" spans="1:3">
      <c r="A28">
        <v>30</v>
      </c>
      <c r="B28" s="2">
        <f t="shared" si="0"/>
        <v>225</v>
      </c>
      <c r="C28" s="2">
        <f t="shared" si="1"/>
        <v>88.235294117647058</v>
      </c>
    </row>
    <row r="29" spans="1:3">
      <c r="A29">
        <v>20</v>
      </c>
      <c r="B29" s="2">
        <f t="shared" si="0"/>
        <v>235</v>
      </c>
      <c r="C29" s="2">
        <f t="shared" si="1"/>
        <v>92.156862745098039</v>
      </c>
    </row>
    <row r="30" spans="1:3">
      <c r="A30">
        <v>10</v>
      </c>
      <c r="B30" s="2">
        <f t="shared" si="0"/>
        <v>245</v>
      </c>
      <c r="C30" s="2">
        <f t="shared" si="1"/>
        <v>96.078431372549019</v>
      </c>
    </row>
    <row r="31" spans="1:3">
      <c r="A31">
        <v>0</v>
      </c>
      <c r="B31" s="2">
        <f t="shared" si="0"/>
        <v>255</v>
      </c>
      <c r="C31" s="2">
        <f t="shared" si="1"/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yagci</dc:creator>
  <cp:lastModifiedBy>ilker yagci</cp:lastModifiedBy>
  <dcterms:created xsi:type="dcterms:W3CDTF">2015-06-05T18:17:20Z</dcterms:created>
  <dcterms:modified xsi:type="dcterms:W3CDTF">2026-02-18T17:18:50Z</dcterms:modified>
</cp:coreProperties>
</file>