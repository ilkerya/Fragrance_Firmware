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lker\Documents\Arduino\Fragrance\Datasheet&amp;Sch\"/>
    </mc:Choice>
  </mc:AlternateContent>
  <xr:revisionPtr revIDLastSave="0" documentId="13_ncr:1_{A45AA3A6-2515-4218-AB53-8662B5F165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Ad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N6" i="3"/>
  <c r="M6" i="3"/>
  <c r="E7" i="3"/>
  <c r="H7" i="3" s="1"/>
  <c r="I7" i="3" s="1"/>
  <c r="J7" i="3" s="1"/>
  <c r="E20" i="3"/>
  <c r="H20" i="3" s="1"/>
  <c r="I20" i="3" s="1"/>
  <c r="J20" i="3" s="1"/>
  <c r="E21" i="3"/>
  <c r="H21" i="3" s="1"/>
  <c r="I21" i="3" s="1"/>
  <c r="J21" i="3" s="1"/>
  <c r="E22" i="3"/>
  <c r="H22" i="3" s="1"/>
  <c r="I22" i="3" s="1"/>
  <c r="J22" i="3" s="1"/>
  <c r="E23" i="3"/>
  <c r="H23" i="3" s="1"/>
  <c r="I23" i="3" s="1"/>
  <c r="J23" i="3" s="1"/>
  <c r="E24" i="3"/>
  <c r="H24" i="3" s="1"/>
  <c r="I24" i="3" s="1"/>
  <c r="J24" i="3" s="1"/>
  <c r="E3" i="3"/>
  <c r="H3" i="3" s="1"/>
  <c r="I3" i="3" s="1"/>
  <c r="J3" i="3" s="1"/>
  <c r="E4" i="3"/>
  <c r="H4" i="3" s="1"/>
  <c r="I4" i="3" s="1"/>
  <c r="J4" i="3" s="1"/>
  <c r="E5" i="3"/>
  <c r="H5" i="3" s="1"/>
  <c r="I5" i="3" s="1"/>
  <c r="J5" i="3" s="1"/>
  <c r="E6" i="3"/>
  <c r="H6" i="3" s="1"/>
  <c r="I6" i="3" s="1"/>
  <c r="J6" i="3" s="1"/>
  <c r="E8" i="3"/>
  <c r="H8" i="3" s="1"/>
  <c r="I8" i="3" s="1"/>
  <c r="J8" i="3" s="1"/>
  <c r="E9" i="3"/>
  <c r="H9" i="3" s="1"/>
  <c r="I9" i="3" s="1"/>
  <c r="J9" i="3" s="1"/>
  <c r="E10" i="3"/>
  <c r="H10" i="3" s="1"/>
  <c r="I10" i="3" s="1"/>
  <c r="J10" i="3" s="1"/>
  <c r="E11" i="3"/>
  <c r="H11" i="3" s="1"/>
  <c r="I11" i="3" s="1"/>
  <c r="J11" i="3" s="1"/>
  <c r="E12" i="3"/>
  <c r="H12" i="3" s="1"/>
  <c r="I12" i="3" s="1"/>
  <c r="J12" i="3" s="1"/>
  <c r="E13" i="3"/>
  <c r="H13" i="3" s="1"/>
  <c r="I13" i="3" s="1"/>
  <c r="J13" i="3" s="1"/>
  <c r="E14" i="3"/>
  <c r="H14" i="3" s="1"/>
  <c r="I14" i="3" s="1"/>
  <c r="J14" i="3" s="1"/>
  <c r="E15" i="3"/>
  <c r="H15" i="3" s="1"/>
  <c r="I15" i="3" s="1"/>
  <c r="J15" i="3" s="1"/>
  <c r="E16" i="3"/>
  <c r="H16" i="3" s="1"/>
  <c r="I16" i="3" s="1"/>
  <c r="J16" i="3" s="1"/>
  <c r="E17" i="3"/>
  <c r="H17" i="3" s="1"/>
  <c r="I17" i="3" s="1"/>
  <c r="J17" i="3" s="1"/>
  <c r="E18" i="3"/>
  <c r="H18" i="3" s="1"/>
  <c r="I18" i="3" s="1"/>
  <c r="J18" i="3" s="1"/>
  <c r="E19" i="3"/>
  <c r="H19" i="3" s="1"/>
  <c r="I19" i="3" s="1"/>
  <c r="J19" i="3" s="1"/>
  <c r="B16" i="1"/>
  <c r="C16" i="1" s="1"/>
  <c r="C20" i="1"/>
  <c r="C21" i="1"/>
  <c r="C22" i="1"/>
  <c r="C23" i="1"/>
  <c r="C24" i="1"/>
  <c r="C11" i="1"/>
  <c r="B13" i="1"/>
  <c r="C13" i="1" s="1"/>
  <c r="B12" i="1"/>
  <c r="C12" i="1" s="1"/>
  <c r="B14" i="1"/>
  <c r="C14" i="1" s="1"/>
  <c r="B15" i="1"/>
  <c r="C15" i="1" s="1"/>
  <c r="B17" i="1"/>
  <c r="C17" i="1" s="1"/>
  <c r="B18" i="1"/>
  <c r="C18" i="1" s="1"/>
  <c r="B19" i="1"/>
  <c r="C19" i="1" s="1"/>
  <c r="B20" i="1"/>
  <c r="B21" i="1"/>
  <c r="B22" i="1"/>
  <c r="B23" i="1"/>
  <c r="B24" i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11" i="1"/>
  <c r="D5" i="1"/>
  <c r="E5" i="1" s="1"/>
  <c r="F5" i="1" s="1"/>
  <c r="D4" i="1"/>
  <c r="E4" i="1" s="1"/>
  <c r="F4" i="1" s="1"/>
  <c r="D3" i="1"/>
  <c r="E3" i="1" s="1"/>
  <c r="F3" i="1" s="1"/>
  <c r="G3" i="1" s="1"/>
  <c r="M8" i="3" l="1"/>
  <c r="G4" i="1"/>
  <c r="G5" i="1"/>
</calcChain>
</file>

<file path=xl/sharedStrings.xml><?xml version="1.0" encoding="utf-8"?>
<sst xmlns="http://schemas.openxmlformats.org/spreadsheetml/2006/main" count="34" uniqueCount="33">
  <si>
    <t xml:space="preserve">High Pulse </t>
  </si>
  <si>
    <t>Low Pulse</t>
  </si>
  <si>
    <t>17:50:51.721 -&gt; Int_Time: 11us  FB: 1Curr: DEV_OFF PWM_Counter: 205   High: 5669   Low: 5842</t>
  </si>
  <si>
    <t>PWM DC</t>
  </si>
  <si>
    <t>T</t>
  </si>
  <si>
    <t>t1+t2</t>
  </si>
  <si>
    <t>uSec</t>
  </si>
  <si>
    <t>rpm</t>
  </si>
  <si>
    <t>17:50:51.721 -&gt; Int_Time: 11us  FB: 1Curr: DEV_OFF PWM_Counter: 205   High: 5669   Low: 5843</t>
  </si>
  <si>
    <t>17:50:51.721 -&gt; Int_Time: 11us  FB: 1Curr: DEV_OFF PWM_Counter: 205   High: 5669   Low: 5844</t>
  </si>
  <si>
    <t>17:50:51.721 -&gt; Int_Time: 11us  FB: 1Curr: DEV_OFF PWM_Counter: 205   High: 5669   Low: 5845</t>
  </si>
  <si>
    <t>17:50:51.721 -&gt; Int_Time: 11us  FB: 1Curr: DEV_OFF PWM_Counter: 205   High: 5669   Low: 5846</t>
  </si>
  <si>
    <t>17:50:51.721 -&gt; Int_Time: 11us  FB: 1Curr: DEV_OFF PWM_Counter: 205   High: 5669   Low: 5847</t>
  </si>
  <si>
    <t>17:50:51.721 -&gt; Int_Time: 11us  FB: 1Curr: DEV_OFF PWM_Counter: 205   High: 5669   Low: 5848</t>
  </si>
  <si>
    <t>17:50:51.721 -&gt; Int_Time: 11us  FB: 1Curr: DEV_OFF PWM_Counter: 205   High: 5669   Low: 5849</t>
  </si>
  <si>
    <t>17:50:51.721 -&gt; Int_Time: 11us  FB: 1Curr: DEV_OFF PWM_Counter: 205   High: 5669   Low: 5850</t>
  </si>
  <si>
    <t>%</t>
  </si>
  <si>
    <t>Applied</t>
  </si>
  <si>
    <t>Inverse</t>
  </si>
  <si>
    <t>Minimum</t>
  </si>
  <si>
    <t>adc</t>
  </si>
  <si>
    <t>mVolt</t>
  </si>
  <si>
    <t>up Res Kohm</t>
  </si>
  <si>
    <t>Down Res Kohm</t>
  </si>
  <si>
    <t>Mvolt</t>
  </si>
  <si>
    <t>Sampled</t>
  </si>
  <si>
    <t>Max mVolt</t>
  </si>
  <si>
    <t>Adc Res</t>
  </si>
  <si>
    <t xml:space="preserve">Adc </t>
  </si>
  <si>
    <t>ESP32 Read</t>
  </si>
  <si>
    <t>1327 mv</t>
  </si>
  <si>
    <t>1000 adc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</si>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</sst>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4E5B6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31"/>
  <sheetViews>
    <sheetView topLeftCell="A10" workbookViewId="0">
      <selection activeCell="C38" sqref="C38"/>
    </sheetView>
  </sheetViews>
  <sheetFormatPr defaultRowHeight="14.4"/>
  <cols>
    <col min="2" max="2" width="8.33203125" style="2" customWidth="1"/>
  </cols>
  <sheetData>
    <row r="2" spans="1:12">
      <c r="A2" t="s">
        <v>3</v>
      </c>
      <c r="B2" s="2" t="s">
        <v>0</v>
      </c>
      <c r="C2" t="s">
        <v>1</v>
      </c>
      <c r="D2" t="s">
        <v>5</v>
      </c>
      <c r="E2" t="s">
        <v>4</v>
      </c>
      <c r="F2" t="s">
        <v>6</v>
      </c>
      <c r="G2" t="s">
        <v>7</v>
      </c>
    </row>
    <row r="3" spans="1:12">
      <c r="A3">
        <v>207</v>
      </c>
      <c r="B3" s="2">
        <v>6340</v>
      </c>
      <c r="C3">
        <v>6596</v>
      </c>
      <c r="D3">
        <f>B3+C3</f>
        <v>12936</v>
      </c>
      <c r="E3">
        <f>D3*2</f>
        <v>25872</v>
      </c>
      <c r="F3">
        <f>E3/100000</f>
        <v>0.25872000000000001</v>
      </c>
      <c r="G3">
        <f>(60/(F3))</f>
        <v>231.91094619666049</v>
      </c>
      <c r="L3" s="1" t="s">
        <v>2</v>
      </c>
    </row>
    <row r="4" spans="1:12">
      <c r="B4" s="2">
        <v>500</v>
      </c>
      <c r="C4">
        <v>500</v>
      </c>
      <c r="D4">
        <f>B4+C4</f>
        <v>1000</v>
      </c>
      <c r="E4">
        <f>D4*2</f>
        <v>2000</v>
      </c>
      <c r="F4">
        <f>E4/100000</f>
        <v>0.02</v>
      </c>
      <c r="G4">
        <f>(60/(E4/100000))</f>
        <v>3000</v>
      </c>
      <c r="L4" s="1" t="s">
        <v>8</v>
      </c>
    </row>
    <row r="5" spans="1:12">
      <c r="B5" s="2">
        <v>800</v>
      </c>
      <c r="C5">
        <v>800</v>
      </c>
      <c r="D5">
        <f>B5+C5</f>
        <v>1600</v>
      </c>
      <c r="E5">
        <f>D5*2</f>
        <v>3200</v>
      </c>
      <c r="F5">
        <f>E5/100000</f>
        <v>3.2000000000000001E-2</v>
      </c>
      <c r="G5">
        <f>(60*100000) /E5</f>
        <v>1875</v>
      </c>
      <c r="L5" s="1" t="s">
        <v>9</v>
      </c>
    </row>
    <row r="6" spans="1:12">
      <c r="L6" s="1" t="s">
        <v>10</v>
      </c>
    </row>
    <row r="7" spans="1:12">
      <c r="L7" s="1" t="s">
        <v>11</v>
      </c>
    </row>
    <row r="8" spans="1:12">
      <c r="L8" s="1" t="s">
        <v>12</v>
      </c>
    </row>
    <row r="9" spans="1:12">
      <c r="L9" s="1" t="s">
        <v>13</v>
      </c>
    </row>
    <row r="10" spans="1:12">
      <c r="A10" t="s">
        <v>17</v>
      </c>
      <c r="B10" s="2" t="s">
        <v>18</v>
      </c>
      <c r="C10" s="2" t="s">
        <v>16</v>
      </c>
      <c r="L10" s="1" t="s">
        <v>14</v>
      </c>
    </row>
    <row r="11" spans="1:12">
      <c r="A11">
        <v>255</v>
      </c>
      <c r="B11" s="2">
        <f>255-A11</f>
        <v>0</v>
      </c>
      <c r="C11" s="2">
        <f>(B11/255)*100</f>
        <v>0</v>
      </c>
      <c r="L11" s="1" t="s">
        <v>15</v>
      </c>
    </row>
    <row r="12" spans="1:12">
      <c r="A12">
        <v>240</v>
      </c>
      <c r="B12" s="2">
        <f t="shared" ref="B12:B31" si="0">255-A12</f>
        <v>15</v>
      </c>
      <c r="C12" s="2">
        <f t="shared" ref="C12:C31" si="1">(B12/255)*100</f>
        <v>5.8823529411764701</v>
      </c>
    </row>
    <row r="13" spans="1:12">
      <c r="A13">
        <v>235</v>
      </c>
      <c r="B13" s="2">
        <f t="shared" si="0"/>
        <v>20</v>
      </c>
      <c r="C13" s="2">
        <f t="shared" si="1"/>
        <v>7.8431372549019605</v>
      </c>
    </row>
    <row r="14" spans="1:12">
      <c r="A14">
        <v>225</v>
      </c>
      <c r="B14" s="2">
        <f t="shared" si="0"/>
        <v>30</v>
      </c>
      <c r="C14" s="2">
        <f t="shared" si="1"/>
        <v>11.76470588235294</v>
      </c>
    </row>
    <row r="15" spans="1:12">
      <c r="A15">
        <v>210</v>
      </c>
      <c r="B15" s="2">
        <f t="shared" si="0"/>
        <v>45</v>
      </c>
      <c r="C15" s="2">
        <f t="shared" si="1"/>
        <v>17.647058823529413</v>
      </c>
    </row>
    <row r="16" spans="1:12">
      <c r="A16">
        <v>205</v>
      </c>
      <c r="B16" s="2">
        <f t="shared" si="0"/>
        <v>50</v>
      </c>
      <c r="C16" s="2">
        <f t="shared" si="1"/>
        <v>19.607843137254903</v>
      </c>
      <c r="D16" t="s">
        <v>19</v>
      </c>
    </row>
    <row r="17" spans="1:3">
      <c r="A17">
        <v>195</v>
      </c>
      <c r="B17" s="2">
        <f t="shared" si="0"/>
        <v>60</v>
      </c>
      <c r="C17" s="2">
        <f t="shared" si="1"/>
        <v>23.52941176470588</v>
      </c>
    </row>
    <row r="18" spans="1:3">
      <c r="A18">
        <v>180</v>
      </c>
      <c r="B18" s="2">
        <f t="shared" si="0"/>
        <v>75</v>
      </c>
      <c r="C18" s="2">
        <f t="shared" si="1"/>
        <v>29.411764705882355</v>
      </c>
    </row>
    <row r="19" spans="1:3">
      <c r="A19">
        <v>165</v>
      </c>
      <c r="B19" s="2">
        <f t="shared" si="0"/>
        <v>90</v>
      </c>
      <c r="C19" s="2">
        <f t="shared" si="1"/>
        <v>35.294117647058826</v>
      </c>
    </row>
    <row r="20" spans="1:3">
      <c r="A20">
        <v>150</v>
      </c>
      <c r="B20" s="2">
        <f t="shared" si="0"/>
        <v>105</v>
      </c>
      <c r="C20" s="2">
        <f t="shared" si="1"/>
        <v>41.17647058823529</v>
      </c>
    </row>
    <row r="21" spans="1:3">
      <c r="A21">
        <v>135</v>
      </c>
      <c r="B21" s="2">
        <f t="shared" si="0"/>
        <v>120</v>
      </c>
      <c r="C21" s="2">
        <f t="shared" si="1"/>
        <v>47.058823529411761</v>
      </c>
    </row>
    <row r="22" spans="1:3">
      <c r="A22">
        <v>120</v>
      </c>
      <c r="B22" s="2">
        <f t="shared" si="0"/>
        <v>135</v>
      </c>
      <c r="C22" s="2">
        <f t="shared" si="1"/>
        <v>52.941176470588239</v>
      </c>
    </row>
    <row r="23" spans="1:3">
      <c r="A23">
        <v>105</v>
      </c>
      <c r="B23" s="2">
        <f t="shared" si="0"/>
        <v>150</v>
      </c>
      <c r="C23" s="2">
        <f t="shared" si="1"/>
        <v>58.82352941176471</v>
      </c>
    </row>
    <row r="24" spans="1:3">
      <c r="A24">
        <v>90</v>
      </c>
      <c r="B24" s="2">
        <f t="shared" si="0"/>
        <v>165</v>
      </c>
      <c r="C24" s="2">
        <f t="shared" si="1"/>
        <v>64.705882352941174</v>
      </c>
    </row>
    <row r="25" spans="1:3">
      <c r="A25">
        <v>75</v>
      </c>
      <c r="B25" s="2">
        <f t="shared" si="0"/>
        <v>180</v>
      </c>
      <c r="C25" s="2">
        <f t="shared" si="1"/>
        <v>70.588235294117652</v>
      </c>
    </row>
    <row r="26" spans="1:3">
      <c r="A26">
        <v>60</v>
      </c>
      <c r="B26" s="2">
        <f t="shared" si="0"/>
        <v>195</v>
      </c>
      <c r="C26" s="2">
        <f t="shared" si="1"/>
        <v>76.470588235294116</v>
      </c>
    </row>
    <row r="27" spans="1:3">
      <c r="A27">
        <v>45</v>
      </c>
      <c r="B27" s="2">
        <f t="shared" si="0"/>
        <v>210</v>
      </c>
      <c r="C27" s="2">
        <f t="shared" si="1"/>
        <v>82.35294117647058</v>
      </c>
    </row>
    <row r="28" spans="1:3">
      <c r="A28">
        <v>30</v>
      </c>
      <c r="B28" s="2">
        <f t="shared" si="0"/>
        <v>225</v>
      </c>
      <c r="C28" s="2">
        <f t="shared" si="1"/>
        <v>88.235294117647058</v>
      </c>
    </row>
    <row r="29" spans="1:3">
      <c r="A29">
        <v>20</v>
      </c>
      <c r="B29" s="2">
        <f t="shared" si="0"/>
        <v>235</v>
      </c>
      <c r="C29" s="2">
        <f t="shared" si="1"/>
        <v>92.156862745098039</v>
      </c>
    </row>
    <row r="30" spans="1:3">
      <c r="A30">
        <v>10</v>
      </c>
      <c r="B30" s="2">
        <f t="shared" si="0"/>
        <v>245</v>
      </c>
      <c r="C30" s="2">
        <f t="shared" si="1"/>
        <v>96.078431372549019</v>
      </c>
    </row>
    <row r="31" spans="1:3">
      <c r="A31">
        <v>0</v>
      </c>
      <c r="B31" s="2">
        <f t="shared" si="0"/>
        <v>255</v>
      </c>
      <c r="C31" s="2">
        <f t="shared" si="1"/>
        <v>100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CC46-0EDA-47F4-8968-3F5EC7C8C76C}">
  <dimension ref="A1:T24"/>
  <sheetViews>
    <sheetView tabSelected="1" workbookViewId="0">
      <selection activeCell="M20" sqref="M20"/>
    </sheetView>
  </sheetViews>
  <sheetFormatPr defaultRowHeight="14.4"/>
  <cols>
    <col min="3" max="3" width="11" customWidth="1"/>
    <col min="4" max="4" width="13.6640625" customWidth="1"/>
    <col min="6" max="6" width="11.109375" customWidth="1"/>
    <col min="8" max="13" width="8.88671875" style="2"/>
    <col min="15" max="15" width="10" bestFit="1" customWidth="1"/>
  </cols>
  <sheetData>
    <row r="1" spans="1:20">
      <c r="B1" s="2"/>
      <c r="E1" s="2" t="s">
        <v>25</v>
      </c>
      <c r="H1" s="2" t="s">
        <v>29</v>
      </c>
    </row>
    <row r="2" spans="1:20">
      <c r="B2" s="2" t="s">
        <v>21</v>
      </c>
      <c r="C2" t="s">
        <v>22</v>
      </c>
      <c r="D2" t="s">
        <v>23</v>
      </c>
      <c r="E2" s="2" t="s">
        <v>24</v>
      </c>
      <c r="F2" t="s">
        <v>26</v>
      </c>
      <c r="G2" t="s">
        <v>27</v>
      </c>
      <c r="H2" s="2" t="s">
        <v>28</v>
      </c>
      <c r="I2" s="2" t="s">
        <v>21</v>
      </c>
    </row>
    <row r="3" spans="1:20">
      <c r="B3" s="2">
        <v>5000</v>
      </c>
      <c r="C3">
        <v>680</v>
      </c>
      <c r="D3">
        <v>300</v>
      </c>
      <c r="E3" s="2">
        <f>B3/(C3+D3)*D3</f>
        <v>1530.612244897959</v>
      </c>
      <c r="F3">
        <v>3300</v>
      </c>
      <c r="G3">
        <v>4096</v>
      </c>
      <c r="H3" s="2">
        <f>(E3*F3)/G3</f>
        <v>1233.1592793367345</v>
      </c>
      <c r="I3" s="2">
        <f>H3*F3/G3</f>
        <v>993.51211470000578</v>
      </c>
      <c r="J3" s="2">
        <f>I3*(D3/(D3+C3))</f>
        <v>304.1363616428589</v>
      </c>
    </row>
    <row r="4" spans="1:20">
      <c r="B4" s="2">
        <v>4750</v>
      </c>
      <c r="C4">
        <v>680</v>
      </c>
      <c r="D4">
        <v>300</v>
      </c>
      <c r="E4" s="2">
        <f t="shared" ref="E4:E19" si="0">B4/(C4+D4)*D4</f>
        <v>1454.0816326530612</v>
      </c>
      <c r="F4">
        <v>3300</v>
      </c>
      <c r="G4">
        <v>4096</v>
      </c>
      <c r="H4" s="2">
        <f t="shared" ref="H4:H24" si="1">(E4*F4)/G4</f>
        <v>1171.5013153698978</v>
      </c>
      <c r="I4" s="2">
        <f t="shared" ref="I4:I24" si="2">H4*F4/G4</f>
        <v>943.83650896500558</v>
      </c>
      <c r="J4" s="2">
        <f t="shared" ref="J4:J24" si="3">I4*(D4/(D4+C4))</f>
        <v>288.92954356071601</v>
      </c>
    </row>
    <row r="5" spans="1:20">
      <c r="B5" s="2">
        <v>4500</v>
      </c>
      <c r="C5">
        <v>680</v>
      </c>
      <c r="D5">
        <v>300</v>
      </c>
      <c r="E5" s="2">
        <f t="shared" si="0"/>
        <v>1377.5510204081634</v>
      </c>
      <c r="F5">
        <v>3300</v>
      </c>
      <c r="G5">
        <v>4096</v>
      </c>
      <c r="H5" s="2">
        <f t="shared" si="1"/>
        <v>1109.8433514030612</v>
      </c>
      <c r="I5" s="2">
        <f t="shared" si="2"/>
        <v>894.16090323000537</v>
      </c>
      <c r="J5" s="2">
        <f t="shared" si="3"/>
        <v>273.72272547857307</v>
      </c>
    </row>
    <row r="6" spans="1:20">
      <c r="A6" t="s">
        <v>32</v>
      </c>
      <c r="B6" s="2">
        <v>4333</v>
      </c>
      <c r="C6">
        <v>680</v>
      </c>
      <c r="D6">
        <v>300</v>
      </c>
      <c r="E6" s="2">
        <f t="shared" si="0"/>
        <v>1326.4285714285716</v>
      </c>
      <c r="F6">
        <v>3300</v>
      </c>
      <c r="G6">
        <v>4096</v>
      </c>
      <c r="H6" s="2">
        <f t="shared" si="1"/>
        <v>1068.6558314732144</v>
      </c>
      <c r="I6" s="2">
        <f t="shared" si="2"/>
        <v>860.97759859902533</v>
      </c>
      <c r="J6" s="2">
        <f t="shared" si="3"/>
        <v>263.56457099970163</v>
      </c>
      <c r="M6" s="2">
        <f>E6*(C6+D6)/D6</f>
        <v>4333.0000000000009</v>
      </c>
      <c r="N6">
        <f>(C6+D6)/D6</f>
        <v>3.2666666666666666</v>
      </c>
      <c r="O6">
        <f>E6*N6</f>
        <v>4333</v>
      </c>
    </row>
    <row r="7" spans="1:20">
      <c r="B7" s="2">
        <v>4250</v>
      </c>
      <c r="C7">
        <v>680</v>
      </c>
      <c r="D7">
        <v>300</v>
      </c>
      <c r="E7" s="2">
        <f t="shared" ref="E7" si="4">B7/(C7+D7)*D7</f>
        <v>1301.0204081632653</v>
      </c>
      <c r="F7">
        <v>3300</v>
      </c>
      <c r="G7">
        <v>4096</v>
      </c>
      <c r="H7" s="2">
        <f t="shared" ref="H7" si="5">(E7*F7)/G7</f>
        <v>1048.1853874362246</v>
      </c>
      <c r="I7" s="2">
        <f t="shared" ref="I7" si="6">H7*F7/G7</f>
        <v>844.48529749500517</v>
      </c>
      <c r="J7" s="2">
        <f t="shared" ref="J7" si="7">I7*(D7/(D7+C7))</f>
        <v>258.51590739643018</v>
      </c>
    </row>
    <row r="8" spans="1:20">
      <c r="B8" s="2">
        <v>4000</v>
      </c>
      <c r="C8">
        <v>680</v>
      </c>
      <c r="D8">
        <v>300</v>
      </c>
      <c r="E8" s="2">
        <f t="shared" si="0"/>
        <v>1224.4897959183675</v>
      </c>
      <c r="F8">
        <v>3300</v>
      </c>
      <c r="G8">
        <v>4096</v>
      </c>
      <c r="H8" s="2">
        <f t="shared" si="1"/>
        <v>986.52742346938783</v>
      </c>
      <c r="I8" s="2">
        <f t="shared" si="2"/>
        <v>794.80969176000485</v>
      </c>
      <c r="J8" s="2">
        <f t="shared" si="3"/>
        <v>243.30908931428721</v>
      </c>
      <c r="M8" s="2">
        <f>E8/D8*(C8+D8)</f>
        <v>4000</v>
      </c>
      <c r="R8">
        <v>5</v>
      </c>
      <c r="S8">
        <v>1024</v>
      </c>
      <c r="T8" t="s">
        <v>20</v>
      </c>
    </row>
    <row r="9" spans="1:20">
      <c r="B9" s="2">
        <v>3750</v>
      </c>
      <c r="C9">
        <v>680</v>
      </c>
      <c r="D9">
        <v>300</v>
      </c>
      <c r="E9" s="2">
        <f t="shared" si="0"/>
        <v>1147.9591836734694</v>
      </c>
      <c r="F9">
        <v>3300</v>
      </c>
      <c r="G9">
        <v>4096</v>
      </c>
      <c r="H9" s="2">
        <f t="shared" si="1"/>
        <v>924.86945950255108</v>
      </c>
      <c r="I9" s="2">
        <f t="shared" si="2"/>
        <v>745.13408602500454</v>
      </c>
      <c r="J9" s="2">
        <f t="shared" si="3"/>
        <v>228.10227123214426</v>
      </c>
      <c r="R9">
        <v>1</v>
      </c>
      <c r="S9">
        <v>205</v>
      </c>
    </row>
    <row r="10" spans="1:20">
      <c r="B10" s="2">
        <v>3500</v>
      </c>
      <c r="C10">
        <v>680</v>
      </c>
      <c r="D10">
        <v>300</v>
      </c>
      <c r="E10" s="2">
        <f t="shared" si="0"/>
        <v>1071.4285714285716</v>
      </c>
      <c r="F10">
        <v>3300</v>
      </c>
      <c r="G10">
        <v>4096</v>
      </c>
      <c r="H10" s="2">
        <f t="shared" si="1"/>
        <v>863.21149553571433</v>
      </c>
      <c r="I10" s="2">
        <f t="shared" si="2"/>
        <v>695.45848029000422</v>
      </c>
      <c r="J10" s="2">
        <f t="shared" si="3"/>
        <v>212.89545315000129</v>
      </c>
    </row>
    <row r="11" spans="1:20">
      <c r="B11" s="2">
        <v>3250</v>
      </c>
      <c r="C11">
        <v>680</v>
      </c>
      <c r="D11">
        <v>300</v>
      </c>
      <c r="E11" s="2">
        <f t="shared" si="0"/>
        <v>994.89795918367349</v>
      </c>
      <c r="F11">
        <v>3300</v>
      </c>
      <c r="G11">
        <v>4096</v>
      </c>
      <c r="H11" s="2">
        <f t="shared" si="1"/>
        <v>801.55353156887759</v>
      </c>
      <c r="I11" s="2">
        <f t="shared" si="2"/>
        <v>645.7828745550039</v>
      </c>
      <c r="J11" s="2">
        <f t="shared" si="3"/>
        <v>197.68863506785834</v>
      </c>
    </row>
    <row r="12" spans="1:20">
      <c r="B12" s="2">
        <v>3000</v>
      </c>
      <c r="C12">
        <v>680</v>
      </c>
      <c r="D12">
        <v>300</v>
      </c>
      <c r="E12" s="2">
        <f t="shared" si="0"/>
        <v>918.36734693877543</v>
      </c>
      <c r="F12">
        <v>3300</v>
      </c>
      <c r="G12">
        <v>4096</v>
      </c>
      <c r="H12" s="2">
        <f t="shared" si="1"/>
        <v>739.89556760204073</v>
      </c>
      <c r="I12" s="2">
        <f t="shared" si="2"/>
        <v>596.10726882000347</v>
      </c>
      <c r="J12" s="2">
        <f t="shared" si="3"/>
        <v>182.48181698571534</v>
      </c>
    </row>
    <row r="13" spans="1:20">
      <c r="B13" s="2">
        <v>2750</v>
      </c>
      <c r="C13">
        <v>680</v>
      </c>
      <c r="D13">
        <v>300</v>
      </c>
      <c r="E13" s="2">
        <f t="shared" si="0"/>
        <v>841.83673469387759</v>
      </c>
      <c r="F13">
        <v>3300</v>
      </c>
      <c r="G13">
        <v>4096</v>
      </c>
      <c r="H13" s="2">
        <f t="shared" si="1"/>
        <v>678.2376036352041</v>
      </c>
      <c r="I13" s="2">
        <f t="shared" si="2"/>
        <v>546.43166308500327</v>
      </c>
      <c r="J13" s="2">
        <f t="shared" si="3"/>
        <v>167.27499890357242</v>
      </c>
    </row>
    <row r="14" spans="1:20">
      <c r="B14" s="2">
        <v>2500</v>
      </c>
      <c r="C14">
        <v>680</v>
      </c>
      <c r="D14">
        <v>300</v>
      </c>
      <c r="E14" s="2">
        <f t="shared" si="0"/>
        <v>765.30612244897952</v>
      </c>
      <c r="F14">
        <v>3300</v>
      </c>
      <c r="G14">
        <v>4096</v>
      </c>
      <c r="H14" s="2">
        <f t="shared" si="1"/>
        <v>616.57963966836724</v>
      </c>
      <c r="I14" s="2">
        <f t="shared" si="2"/>
        <v>496.75605735000289</v>
      </c>
      <c r="J14" s="2">
        <f t="shared" si="3"/>
        <v>152.06818082142945</v>
      </c>
    </row>
    <row r="15" spans="1:20">
      <c r="B15" s="2">
        <v>2250</v>
      </c>
      <c r="C15">
        <v>680</v>
      </c>
      <c r="D15">
        <v>300</v>
      </c>
      <c r="E15" s="2">
        <f t="shared" si="0"/>
        <v>688.77551020408168</v>
      </c>
      <c r="F15">
        <v>3300</v>
      </c>
      <c r="G15">
        <v>4096</v>
      </c>
      <c r="H15" s="2">
        <f t="shared" si="1"/>
        <v>554.9216757015306</v>
      </c>
      <c r="I15" s="2">
        <f t="shared" si="2"/>
        <v>447.08045161500269</v>
      </c>
      <c r="J15" s="2">
        <f t="shared" si="3"/>
        <v>136.86136273928653</v>
      </c>
    </row>
    <row r="16" spans="1:20">
      <c r="B16" s="2">
        <v>2000</v>
      </c>
      <c r="C16">
        <v>680</v>
      </c>
      <c r="D16">
        <v>300</v>
      </c>
      <c r="E16" s="2">
        <f t="shared" si="0"/>
        <v>612.24489795918373</v>
      </c>
      <c r="F16">
        <v>3300</v>
      </c>
      <c r="G16">
        <v>4096</v>
      </c>
      <c r="H16" s="2">
        <f t="shared" si="1"/>
        <v>493.26371173469391</v>
      </c>
      <c r="I16" s="2">
        <f t="shared" si="2"/>
        <v>397.40484588000243</v>
      </c>
      <c r="J16" s="2">
        <f t="shared" si="3"/>
        <v>121.6545446571436</v>
      </c>
    </row>
    <row r="17" spans="2:17">
      <c r="B17" s="2">
        <v>1750</v>
      </c>
      <c r="C17">
        <v>680</v>
      </c>
      <c r="D17">
        <v>300</v>
      </c>
      <c r="E17" s="2">
        <f t="shared" si="0"/>
        <v>535.71428571428578</v>
      </c>
      <c r="F17">
        <v>3300</v>
      </c>
      <c r="G17">
        <v>4096</v>
      </c>
      <c r="H17" s="2">
        <f t="shared" si="1"/>
        <v>431.60574776785717</v>
      </c>
      <c r="I17" s="2">
        <f t="shared" si="2"/>
        <v>347.72924014500211</v>
      </c>
      <c r="J17" s="2">
        <f t="shared" si="3"/>
        <v>106.44772657500064</v>
      </c>
    </row>
    <row r="18" spans="2:17">
      <c r="B18" s="2">
        <v>1500</v>
      </c>
      <c r="C18">
        <v>680</v>
      </c>
      <c r="D18">
        <v>300</v>
      </c>
      <c r="E18" s="2">
        <f t="shared" si="0"/>
        <v>459.18367346938771</v>
      </c>
      <c r="F18">
        <v>3300</v>
      </c>
      <c r="G18">
        <v>4096</v>
      </c>
      <c r="H18" s="2">
        <f t="shared" si="1"/>
        <v>369.94778380102036</v>
      </c>
      <c r="I18" s="2">
        <f t="shared" si="2"/>
        <v>298.05363441000173</v>
      </c>
      <c r="J18" s="2">
        <f t="shared" si="3"/>
        <v>91.24090849285767</v>
      </c>
    </row>
    <row r="19" spans="2:17">
      <c r="B19" s="2">
        <v>1250</v>
      </c>
      <c r="C19">
        <v>680</v>
      </c>
      <c r="D19">
        <v>300</v>
      </c>
      <c r="E19" s="2">
        <f t="shared" si="0"/>
        <v>382.65306122448976</v>
      </c>
      <c r="F19">
        <v>3300</v>
      </c>
      <c r="G19">
        <v>4096</v>
      </c>
      <c r="H19" s="2">
        <f t="shared" si="1"/>
        <v>308.28981983418362</v>
      </c>
      <c r="I19" s="2">
        <f t="shared" si="2"/>
        <v>248.37802867500145</v>
      </c>
      <c r="J19" s="2">
        <f t="shared" si="3"/>
        <v>76.034090410714725</v>
      </c>
    </row>
    <row r="20" spans="2:17">
      <c r="B20" s="2">
        <v>1000</v>
      </c>
      <c r="C20">
        <v>680</v>
      </c>
      <c r="D20">
        <v>300</v>
      </c>
      <c r="E20" s="2">
        <f>B20/(C20+D20)*D20</f>
        <v>306.12244897959187</v>
      </c>
      <c r="F20">
        <v>3300</v>
      </c>
      <c r="G20">
        <v>4096</v>
      </c>
      <c r="H20" s="2">
        <f t="shared" si="1"/>
        <v>246.63185586734696</v>
      </c>
      <c r="I20" s="2">
        <f t="shared" si="2"/>
        <v>198.70242294000121</v>
      </c>
      <c r="J20" s="2">
        <f t="shared" si="3"/>
        <v>60.827272328571802</v>
      </c>
      <c r="Q20" t="s">
        <v>30</v>
      </c>
    </row>
    <row r="21" spans="2:17">
      <c r="B21" s="2">
        <v>750</v>
      </c>
      <c r="C21">
        <v>680</v>
      </c>
      <c r="D21">
        <v>300</v>
      </c>
      <c r="E21" s="2">
        <f t="shared" ref="E21:E24" si="8">B21/(C21+D21)*D21</f>
        <v>229.59183673469386</v>
      </c>
      <c r="F21">
        <v>3300</v>
      </c>
      <c r="G21">
        <v>4096</v>
      </c>
      <c r="H21" s="2">
        <f t="shared" si="1"/>
        <v>184.97389190051018</v>
      </c>
      <c r="I21" s="2">
        <f t="shared" si="2"/>
        <v>149.02681720500087</v>
      </c>
      <c r="J21" s="2">
        <f t="shared" si="3"/>
        <v>45.620454246428835</v>
      </c>
      <c r="Q21" t="s">
        <v>31</v>
      </c>
    </row>
    <row r="22" spans="2:17">
      <c r="B22" s="2">
        <v>500</v>
      </c>
      <c r="C22">
        <v>680</v>
      </c>
      <c r="D22">
        <v>300</v>
      </c>
      <c r="E22" s="2">
        <f t="shared" si="8"/>
        <v>153.06122448979593</v>
      </c>
      <c r="F22">
        <v>3300</v>
      </c>
      <c r="G22">
        <v>4096</v>
      </c>
      <c r="H22" s="2">
        <f t="shared" si="1"/>
        <v>123.31592793367348</v>
      </c>
      <c r="I22" s="2">
        <f t="shared" si="2"/>
        <v>99.351211470000607</v>
      </c>
      <c r="J22" s="2">
        <f t="shared" si="3"/>
        <v>30.413636164285901</v>
      </c>
    </row>
    <row r="23" spans="2:17">
      <c r="B23" s="2">
        <v>250</v>
      </c>
      <c r="C23">
        <v>680</v>
      </c>
      <c r="D23">
        <v>300</v>
      </c>
      <c r="E23" s="2">
        <f t="shared" si="8"/>
        <v>76.530612244897966</v>
      </c>
      <c r="F23">
        <v>3300</v>
      </c>
      <c r="G23">
        <v>4096</v>
      </c>
      <c r="H23" s="2">
        <f t="shared" si="1"/>
        <v>61.657963966836739</v>
      </c>
      <c r="I23" s="2">
        <f t="shared" si="2"/>
        <v>49.675605735000303</v>
      </c>
      <c r="J23" s="2">
        <f t="shared" si="3"/>
        <v>15.20681808214295</v>
      </c>
    </row>
    <row r="24" spans="2:17">
      <c r="B24" s="2">
        <v>0</v>
      </c>
      <c r="C24">
        <v>680</v>
      </c>
      <c r="D24">
        <v>300</v>
      </c>
      <c r="E24" s="2">
        <f t="shared" si="8"/>
        <v>0</v>
      </c>
      <c r="F24">
        <v>3300</v>
      </c>
      <c r="G24">
        <v>4096</v>
      </c>
      <c r="H24" s="2">
        <f t="shared" si="1"/>
        <v>0</v>
      </c>
      <c r="I24" s="2">
        <f t="shared" si="2"/>
        <v>0</v>
      </c>
      <c r="J24" s="2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yagci</dc:creator>
  <cp:lastModifiedBy>ilker yagci</cp:lastModifiedBy>
  <dcterms:created xsi:type="dcterms:W3CDTF">2015-06-05T18:17:20Z</dcterms:created>
  <dcterms:modified xsi:type="dcterms:W3CDTF">2026-03-08T15:44:55Z</dcterms:modified>
</cp:coreProperties>
</file>